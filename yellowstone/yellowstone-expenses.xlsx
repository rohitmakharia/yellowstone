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trip bookings" sheetId="1" state="visible" r:id="rId3"/>
    <sheet name="During-trip log" sheetId="2" state="visible" r:id="rId4"/>
    <sheet name="Settl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<sst xmlns="http://schemas.openxmlformats.org/spreadsheetml/2006/main" count="181" uniqueCount="117">
  <si>
    <t xml:space="preserve">2026 Makharia Family Reunion · Expense Tracker</t>
  </si>
  <si>
    <t xml:space="preserve">Sheet 1 of 3 — Pre-trip bookings (everything booked before Aug 22). Blue = input, yellow = needs an amount filled in.</t>
  </si>
  <si>
    <t xml:space="preserve">Date paid</t>
  </si>
  <si>
    <t xml:space="preserve">Category</t>
  </si>
  <si>
    <t xml:space="preserve">Description</t>
  </si>
  <si>
    <t xml:space="preserve">Paid by</t>
  </si>
  <si>
    <t xml:space="preserve">Amount (USD)</t>
  </si>
  <si>
    <t xml:space="preserve">Refundable?</t>
  </si>
  <si>
    <t xml:space="preserve">Cancel deadline</t>
  </si>
  <si>
    <t xml:space="preserve">Confirmation #</t>
  </si>
  <si>
    <t xml:space="preserve">Paid to</t>
  </si>
  <si>
    <t xml:space="preserve">Who benefits</t>
  </si>
  <si>
    <t xml:space="preserve">Notes</t>
  </si>
  <si>
    <t xml:space="preserve">2026-05-12</t>
  </si>
  <si>
    <t xml:space="preserve">Dining</t>
  </si>
  <si>
    <t xml:space="preserve">Glorietta — Dadu's 75th private room (Aug 23)</t>
  </si>
  <si>
    <t xml:space="preserve">Rohit</t>
  </si>
  <si>
    <t xml:space="preserve">10-day cancel</t>
  </si>
  <si>
    <t xml:space="preserve">2026-08-13</t>
  </si>
  <si>
    <t xml:space="preserve">phone reservation</t>
  </si>
  <si>
    <t xml:space="preserve">Glorietta Trattoria</t>
  </si>
  <si>
    <t xml:space="preserve">All 12</t>
  </si>
  <si>
    <t xml:space="preserve">No deposit charged yet; menu finalize ~Aug 9</t>
  </si>
  <si>
    <t xml:space="preserve">2026-05-13</t>
  </si>
  <si>
    <t xml:space="preserve">Activity</t>
  </si>
  <si>
    <t xml:space="preserve">Barker-Ewing private float (Aug 24 12:00 PM)</t>
  </si>
  <si>
    <t xml:space="preserve">Full ≥72hr</t>
  </si>
  <si>
    <t xml:space="preserve">2026-08-21</t>
  </si>
  <si>
    <t xml:space="preserve">8L5Q8N9T7K3V2H7F</t>
  </si>
  <si>
    <t xml:space="preserve">Barker-Ewing Scenic Floats</t>
  </si>
  <si>
    <t xml:space="preserve">Pickup Moose Village. 307-733-1800.</t>
  </si>
  <si>
    <t xml:space="preserve">2026-05-19</t>
  </si>
  <si>
    <t xml:space="preserve">Flight</t>
  </si>
  <si>
    <t xml:space="preserve">UA 2472 SFO→JAC · 3 Agarwal inbound (HTXHKY)</t>
  </si>
  <si>
    <t xml:space="preserve">Non-refundable</t>
  </si>
  <si>
    <t xml:space="preserve">—</t>
  </si>
  <si>
    <t xml:space="preserve">HTXHKY</t>
  </si>
  <si>
    <t xml:space="preserve">United Airlines</t>
  </si>
  <si>
    <t xml:space="preserve">Agarwal (3)</t>
  </si>
  <si>
    <t xml:space="preserve">Seats 34D/E/F. Aug 22.</t>
  </si>
  <si>
    <t xml:space="preserve">UA 1702 BZN→SFO · 5 non-refundable (HVFBCM)</t>
  </si>
  <si>
    <t xml:space="preserve">Ritesh</t>
  </si>
  <si>
    <t xml:space="preserve">HVFBCM</t>
  </si>
  <si>
    <t xml:space="preserve">Detroit-onward(5)</t>
  </si>
  <si>
    <t xml:space="preserve">Seats 34A/B/C, 35B/C. Aug 29.</t>
  </si>
  <si>
    <t xml:space="preserve">UA 1702 BZN→SFO · 3 refundable Agarwal (HVZD9X)</t>
  </si>
  <si>
    <t xml:space="preserve">Until departure</t>
  </si>
  <si>
    <t xml:space="preserve">2026-08-29</t>
  </si>
  <si>
    <t xml:space="preserve">HVZD9X</t>
  </si>
  <si>
    <t xml:space="preserve">Seats 35D/E/F. Aug 29.</t>
  </si>
  <si>
    <t xml:space="preserve">2026-05-20</t>
  </si>
  <si>
    <t xml:space="preserve">Lodging</t>
  </si>
  <si>
    <t xml:space="preserve">Hal'e Teton initial payment (Aug 22-26 Jackson)</t>
  </si>
  <si>
    <t xml:space="preserve">6% forfeit ≤30d</t>
  </si>
  <si>
    <t xml:space="preserve">2026-07-23</t>
  </si>
  <si>
    <t xml:space="preserve">#112575</t>
  </si>
  <si>
    <t xml:space="preserve">Rendezvous Mountain Rentals</t>
  </si>
  <si>
    <t xml:space="preserve">Trip insurance included. 307-739-9050.</t>
  </si>
  <si>
    <t xml:space="preserve">Hal'e Teton final payment (due Jul 23)</t>
  </si>
  <si>
    <t xml:space="preserve">No refund after</t>
  </si>
  <si>
    <t xml:space="preserve">Auto-charged Jul 23.</t>
  </si>
  <si>
    <t xml:space="preserve">Yellowstone Luxury Cabin Retreat (Aug 26-29 W. Yellowstone)</t>
  </si>
  <si>
    <t xml:space="preserve">100% by Jul 27</t>
  </si>
  <si>
    <t xml:space="preserve">2026-07-27</t>
  </si>
  <si>
    <t xml:space="preserve">ORB17812924</t>
  </si>
  <si>
    <t xml:space="preserve">Vrbo property 9746176ha</t>
  </si>
  <si>
    <t xml:space="preserve">+$1,500 refundable deposit at property on arrival (returned post-stay)</t>
  </si>
  <si>
    <t xml:space="preserve">Vehicle</t>
  </si>
  <si>
    <t xml:space="preserve">Enterprise Mini Van #1 (Ritesh) · JAC→BZN Aug 22-29</t>
  </si>
  <si>
    <t xml:space="preserve">Through Aug 20</t>
  </si>
  <si>
    <t xml:space="preserve">2026-08-20</t>
  </si>
  <si>
    <t xml:space="preserve">C491501172 / 2112908075</t>
  </si>
  <si>
    <t xml:space="preserve">Enterprise via Costco Travel</t>
  </si>
  <si>
    <t xml:space="preserve">Driver: Ritesh Kumar Makharia. 1-866-328-1385.</t>
  </si>
  <si>
    <t xml:space="preserve">Enterprise Mini Van #2 (Parul) · JAC→BZN Aug 22-29</t>
  </si>
  <si>
    <t xml:space="preserve">C491501176 / 2112908572</t>
  </si>
  <si>
    <t xml:space="preserve">Driver: Parul Ritesh Kumar Makharia.</t>
  </si>
  <si>
    <t xml:space="preserve">2026-??</t>
  </si>
  <si>
    <t xml:space="preserve">DL 0935 + DL 0417 · 9 Detroit inbound (DTW→SLC→JAC)</t>
  </si>
  <si>
    <t xml:space="preserve">Delta main cabin</t>
  </si>
  <si>
    <t xml:space="preserve">TBD</t>
  </si>
  <si>
    <t xml:space="preserve">Delta Airlines</t>
  </si>
  <si>
    <t xml:space="preserve">Detroit (9)</t>
  </si>
  <si>
    <t xml:space="preserve">Aug 22 · 12:15 PM → 4:57 PM (DTW→SLC→JAC). $304.19/ticket × 9 = total.</t>
  </si>
  <si>
    <t xml:space="preserve">DL 0364 · 4 Detroit return (BZN→DTW)</t>
  </si>
  <si>
    <t xml:space="preserve">Detroit-home (4)</t>
  </si>
  <si>
    <t xml:space="preserve">Aug 29 · 3:38 PM → 8:54 PM.</t>
  </si>
  <si>
    <t xml:space="preserve">Sheet total</t>
  </si>
  <si>
    <t xml:space="preserve">During-trip expenses (Aug 22-29)</t>
  </si>
  <si>
    <t xml:space="preserve">Add a row for every shared expense — gas, groceries, lunches, tips, etc. Anyone can fill in. Sum auto-tracks below.</t>
  </si>
  <si>
    <t xml:space="preserve">Date</t>
  </si>
  <si>
    <t xml:space="preserve">Day #</t>
  </si>
  <si>
    <t xml:space="preserve">Receipt kept?</t>
  </si>
  <si>
    <t xml:space="preserve">During-trip total</t>
  </si>
  <si>
    <t xml:space="preserve">Settlement summary</t>
  </si>
  <si>
    <t xml:space="preserve">Auto-calculated from the other two sheets. Green = cross-sheet reference. Update Paid-by names if different.</t>
  </si>
  <si>
    <t xml:space="preserve">BY PERSON</t>
  </si>
  <si>
    <t xml:space="preserve">Person</t>
  </si>
  <si>
    <t xml:space="preserve">Pre-trip paid</t>
  </si>
  <si>
    <t xml:space="preserve">During-trip paid</t>
  </si>
  <si>
    <t xml:space="preserve">Total paid</t>
  </si>
  <si>
    <t xml:space="preserve">Other</t>
  </si>
  <si>
    <t xml:space="preserve">TRIP TOTAL</t>
  </si>
  <si>
    <t xml:space="preserve">BY CATEGORY</t>
  </si>
  <si>
    <t xml:space="preserve">Pre-trip</t>
  </si>
  <si>
    <t xml:space="preserve">During-trip</t>
  </si>
  <si>
    <t xml:space="preserve">Total</t>
  </si>
  <si>
    <t xml:space="preserve">Food</t>
  </si>
  <si>
    <t xml:space="preserve">Fuel</t>
  </si>
  <si>
    <t xml:space="preserve">WHO OWES WHO (equal split assumption)</t>
  </si>
  <si>
    <t xml:space="preserve">Assumption: split everything equally across 12 people. For per-family-specific costs (e.g. Agarwal-only flights), adjust manually.</t>
  </si>
  <si>
    <t xml:space="preserve">Total trip cost</t>
  </si>
  <si>
    <t xml:space="preserve">Travelers</t>
  </si>
  <si>
    <t xml:space="preserve">Equal per-person share</t>
  </si>
  <si>
    <t xml:space="preserve">Paid</t>
  </si>
  <si>
    <t xml:space="preserve">Owes (share)</t>
  </si>
  <si>
    <t xml:space="preserve">Net (+ = owed back; − = owes more)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</si>
</sst>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1A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Cambria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1A14"/>
        <bgColor rgb="FF000000"/>
      </patternFill>
    </fill>
    <fill>
      <patternFill patternType="solid">
        <fgColor rgb="FFFFFF99"/>
        <bgColor rgb="FFF0EAD6"/>
      </patternFill>
    </fill>
    <fill>
      <patternFill patternType="solid">
        <fgColor rgb="FFF0EAD6"/>
        <bgColor rgb="FFFFFFFF"/>
      </patternFill>
    </fill>
    <fill>
      <patternFill patternType="solid">
        <fgColor rgb="FFD9A44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EA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666666"/>
      <rgbColor rgb="FF969696"/>
      <rgbColor rgb="FF003366"/>
      <rgbColor rgb="FF339966"/>
      <rgbColor rgb="FF0E1A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5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28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4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s">
        <v>13</v>
      </c>
      <c r="B5" s="6" t="s">
        <v>14</v>
      </c>
      <c r="C5" s="6" t="s">
        <v>15</v>
      </c>
      <c r="D5" s="6" t="s">
        <v>16</v>
      </c>
      <c r="E5" s="7" t="n">
        <v>0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</row>
    <row r="6" customFormat="false" ht="15" hidden="false" customHeight="true" outlineLevel="0" collapsed="false">
      <c r="A6" s="5" t="s">
        <v>23</v>
      </c>
      <c r="B6" s="6" t="s">
        <v>24</v>
      </c>
      <c r="C6" s="6" t="s">
        <v>25</v>
      </c>
      <c r="D6" s="6" t="s">
        <v>16</v>
      </c>
      <c r="E6" s="8" t="n">
        <v>1200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21</v>
      </c>
      <c r="K6" s="6" t="s">
        <v>30</v>
      </c>
    </row>
    <row r="7" customFormat="false" ht="15" hidden="false" customHeight="true" outlineLevel="0" collapsed="false">
      <c r="A7" s="5" t="s">
        <v>31</v>
      </c>
      <c r="B7" s="6" t="s">
        <v>32</v>
      </c>
      <c r="C7" s="6" t="s">
        <v>33</v>
      </c>
      <c r="D7" s="6" t="s">
        <v>16</v>
      </c>
      <c r="E7" s="7" t="n">
        <v>0</v>
      </c>
      <c r="F7" s="6" t="s">
        <v>34</v>
      </c>
      <c r="G7" s="6" t="s">
        <v>35</v>
      </c>
      <c r="H7" s="6" t="s">
        <v>36</v>
      </c>
      <c r="I7" s="6" t="s">
        <v>37</v>
      </c>
      <c r="J7" s="6" t="s">
        <v>38</v>
      </c>
      <c r="K7" s="6" t="s">
        <v>39</v>
      </c>
    </row>
    <row r="8" customFormat="false" ht="15" hidden="false" customHeight="true" outlineLevel="0" collapsed="false">
      <c r="A8" s="5" t="s">
        <v>31</v>
      </c>
      <c r="B8" s="6" t="s">
        <v>32</v>
      </c>
      <c r="C8" s="6" t="s">
        <v>40</v>
      </c>
      <c r="D8" s="6" t="s">
        <v>41</v>
      </c>
      <c r="E8" s="7" t="n">
        <v>0</v>
      </c>
      <c r="F8" s="6" t="s">
        <v>34</v>
      </c>
      <c r="G8" s="6" t="s">
        <v>35</v>
      </c>
      <c r="H8" s="6" t="s">
        <v>42</v>
      </c>
      <c r="I8" s="6" t="s">
        <v>37</v>
      </c>
      <c r="J8" s="6" t="s">
        <v>43</v>
      </c>
      <c r="K8" s="6" t="s">
        <v>44</v>
      </c>
    </row>
    <row r="9" customFormat="false" ht="15" hidden="false" customHeight="true" outlineLevel="0" collapsed="false">
      <c r="A9" s="5" t="s">
        <v>31</v>
      </c>
      <c r="B9" s="6" t="s">
        <v>32</v>
      </c>
      <c r="C9" s="6" t="s">
        <v>45</v>
      </c>
      <c r="D9" s="6" t="s">
        <v>41</v>
      </c>
      <c r="E9" s="7" t="n">
        <v>0</v>
      </c>
      <c r="F9" s="6" t="s">
        <v>46</v>
      </c>
      <c r="G9" s="6" t="s">
        <v>47</v>
      </c>
      <c r="H9" s="6" t="s">
        <v>48</v>
      </c>
      <c r="I9" s="6" t="s">
        <v>37</v>
      </c>
      <c r="J9" s="6" t="s">
        <v>38</v>
      </c>
      <c r="K9" s="6" t="s">
        <v>49</v>
      </c>
    </row>
    <row r="10" customFormat="false" ht="15" hidden="false" customHeight="true" outlineLevel="0" collapsed="false">
      <c r="A10" s="5" t="s">
        <v>50</v>
      </c>
      <c r="B10" s="6" t="s">
        <v>51</v>
      </c>
      <c r="C10" s="6" t="s">
        <v>52</v>
      </c>
      <c r="D10" s="6" t="s">
        <v>16</v>
      </c>
      <c r="E10" s="8" t="n">
        <v>5813.36</v>
      </c>
      <c r="F10" s="6" t="s">
        <v>53</v>
      </c>
      <c r="G10" s="6" t="s">
        <v>54</v>
      </c>
      <c r="H10" s="6" t="s">
        <v>55</v>
      </c>
      <c r="I10" s="6" t="s">
        <v>56</v>
      </c>
      <c r="J10" s="6" t="s">
        <v>21</v>
      </c>
      <c r="K10" s="6" t="s">
        <v>57</v>
      </c>
    </row>
    <row r="11" customFormat="false" ht="15" hidden="false" customHeight="true" outlineLevel="0" collapsed="false">
      <c r="A11" s="5" t="s">
        <v>54</v>
      </c>
      <c r="B11" s="6" t="s">
        <v>51</v>
      </c>
      <c r="C11" s="6" t="s">
        <v>58</v>
      </c>
      <c r="D11" s="6" t="s">
        <v>16</v>
      </c>
      <c r="E11" s="8" t="n">
        <v>5813.36</v>
      </c>
      <c r="F11" s="6" t="s">
        <v>59</v>
      </c>
      <c r="G11" s="6" t="s">
        <v>54</v>
      </c>
      <c r="H11" s="6" t="s">
        <v>55</v>
      </c>
      <c r="I11" s="6" t="s">
        <v>56</v>
      </c>
      <c r="J11" s="6" t="s">
        <v>21</v>
      </c>
      <c r="K11" s="6" t="s">
        <v>60</v>
      </c>
    </row>
    <row r="12" customFormat="false" ht="23.25" hidden="false" customHeight="true" outlineLevel="0" collapsed="false">
      <c r="A12" s="5" t="s">
        <v>50</v>
      </c>
      <c r="B12" s="6" t="s">
        <v>51</v>
      </c>
      <c r="C12" s="6" t="s">
        <v>61</v>
      </c>
      <c r="D12" s="6" t="s">
        <v>16</v>
      </c>
      <c r="E12" s="8" t="n">
        <v>6030.9</v>
      </c>
      <c r="F12" s="6" t="s">
        <v>62</v>
      </c>
      <c r="G12" s="6" t="s">
        <v>63</v>
      </c>
      <c r="H12" s="6" t="s">
        <v>64</v>
      </c>
      <c r="I12" s="6" t="s">
        <v>65</v>
      </c>
      <c r="J12" s="6" t="s">
        <v>21</v>
      </c>
      <c r="K12" s="6" t="s">
        <v>66</v>
      </c>
    </row>
    <row r="13" customFormat="false" ht="15" hidden="false" customHeight="true" outlineLevel="0" collapsed="false">
      <c r="A13" s="5" t="s">
        <v>50</v>
      </c>
      <c r="B13" s="6" t="s">
        <v>67</v>
      </c>
      <c r="C13" s="6" t="s">
        <v>68</v>
      </c>
      <c r="D13" s="6" t="s">
        <v>41</v>
      </c>
      <c r="E13" s="7" t="n">
        <v>0</v>
      </c>
      <c r="F13" s="6" t="s">
        <v>69</v>
      </c>
      <c r="G13" s="6" t="s">
        <v>70</v>
      </c>
      <c r="H13" s="6" t="s">
        <v>71</v>
      </c>
      <c r="I13" s="6" t="s">
        <v>72</v>
      </c>
      <c r="J13" s="6" t="s">
        <v>21</v>
      </c>
      <c r="K13" s="6" t="s">
        <v>73</v>
      </c>
    </row>
    <row r="14" customFormat="false" ht="15" hidden="false" customHeight="true" outlineLevel="0" collapsed="false">
      <c r="A14" s="5" t="s">
        <v>50</v>
      </c>
      <c r="B14" s="6" t="s">
        <v>67</v>
      </c>
      <c r="C14" s="6" t="s">
        <v>74</v>
      </c>
      <c r="D14" s="6" t="s">
        <v>41</v>
      </c>
      <c r="E14" s="7" t="n">
        <v>0</v>
      </c>
      <c r="F14" s="6" t="s">
        <v>69</v>
      </c>
      <c r="G14" s="6" t="s">
        <v>70</v>
      </c>
      <c r="H14" s="6" t="s">
        <v>75</v>
      </c>
      <c r="I14" s="6" t="s">
        <v>72</v>
      </c>
      <c r="J14" s="6" t="s">
        <v>21</v>
      </c>
      <c r="K14" s="6" t="s">
        <v>76</v>
      </c>
    </row>
    <row r="15" customFormat="false" ht="23.25" hidden="false" customHeight="true" outlineLevel="0" collapsed="false">
      <c r="A15" s="5" t="s">
        <v>77</v>
      </c>
      <c r="B15" s="6" t="s">
        <v>32</v>
      </c>
      <c r="C15" s="6" t="s">
        <v>78</v>
      </c>
      <c r="D15" s="6" t="s">
        <v>16</v>
      </c>
      <c r="E15" s="9" t="n">
        <f aca="false">9*304.19</f>
        <v>2737.71</v>
      </c>
      <c r="F15" s="6" t="s">
        <v>79</v>
      </c>
      <c r="G15" s="6" t="s">
        <v>35</v>
      </c>
      <c r="H15" s="6" t="s">
        <v>80</v>
      </c>
      <c r="I15" s="6" t="s">
        <v>81</v>
      </c>
      <c r="J15" s="6" t="s">
        <v>82</v>
      </c>
      <c r="K15" s="6" t="s">
        <v>83</v>
      </c>
    </row>
    <row r="16" customFormat="false" ht="15" hidden="false" customHeight="true" outlineLevel="0" collapsed="false">
      <c r="A16" s="5" t="s">
        <v>77</v>
      </c>
      <c r="B16" s="6" t="s">
        <v>32</v>
      </c>
      <c r="C16" s="6" t="s">
        <v>84</v>
      </c>
      <c r="D16" s="6" t="s">
        <v>16</v>
      </c>
      <c r="E16" s="7" t="n">
        <v>0</v>
      </c>
      <c r="F16" s="6" t="s">
        <v>80</v>
      </c>
      <c r="G16" s="6" t="s">
        <v>35</v>
      </c>
      <c r="H16" s="6" t="s">
        <v>80</v>
      </c>
      <c r="I16" s="6" t="s">
        <v>81</v>
      </c>
      <c r="J16" s="6" t="s">
        <v>85</v>
      </c>
      <c r="K16" s="6" t="s">
        <v>86</v>
      </c>
    </row>
    <row r="17" customFormat="false" ht="15" hidden="false" customHeight="true" outlineLevel="0" collapsed="false">
      <c r="D17" s="10" t="s">
        <v>87</v>
      </c>
      <c r="E17" s="11" t="n">
        <f aca="false">SUM(E5:E16)</f>
        <v>21595.33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7" min="5" style="1" width="14"/>
    <col collapsed="false" customWidth="true" hidden="false" outlineLevel="0" max="8" min="8" style="1" width="38"/>
  </cols>
  <sheetData>
    <row r="1" customFormat="false" ht="17.2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90</v>
      </c>
      <c r="B4" s="4" t="s">
        <v>91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92</v>
      </c>
      <c r="H4" s="4" t="s">
        <v>12</v>
      </c>
    </row>
    <row r="5" customFormat="false" ht="15" hidden="false" customHeight="true" outlineLevel="0" collapsed="false">
      <c r="A5" s="12"/>
      <c r="B5" s="12"/>
      <c r="C5" s="13"/>
      <c r="D5" s="13"/>
      <c r="E5" s="13"/>
      <c r="F5" s="8"/>
      <c r="G5" s="13"/>
      <c r="H5" s="13"/>
    </row>
    <row r="6" customFormat="false" ht="15" hidden="false" customHeight="true" outlineLevel="0" collapsed="false">
      <c r="A6" s="12"/>
      <c r="B6" s="12"/>
      <c r="C6" s="13"/>
      <c r="D6" s="13"/>
      <c r="E6" s="13"/>
      <c r="F6" s="8"/>
      <c r="G6" s="13"/>
      <c r="H6" s="13"/>
    </row>
    <row r="7" customFormat="false" ht="15" hidden="false" customHeight="true" outlineLevel="0" collapsed="false">
      <c r="A7" s="12"/>
      <c r="B7" s="12"/>
      <c r="C7" s="13"/>
      <c r="D7" s="13"/>
      <c r="E7" s="13"/>
      <c r="F7" s="8"/>
      <c r="G7" s="13"/>
      <c r="H7" s="13"/>
    </row>
    <row r="8" customFormat="false" ht="15" hidden="false" customHeight="true" outlineLevel="0" collapsed="false">
      <c r="A8" s="12"/>
      <c r="B8" s="12"/>
      <c r="C8" s="13"/>
      <c r="D8" s="13"/>
      <c r="E8" s="13"/>
      <c r="F8" s="8"/>
      <c r="G8" s="13"/>
      <c r="H8" s="13"/>
    </row>
    <row r="9" customFormat="false" ht="15" hidden="false" customHeight="true" outlineLevel="0" collapsed="false">
      <c r="A9" s="12"/>
      <c r="B9" s="12"/>
      <c r="C9" s="13"/>
      <c r="D9" s="13"/>
      <c r="E9" s="13"/>
      <c r="F9" s="8"/>
      <c r="G9" s="13"/>
      <c r="H9" s="13"/>
    </row>
    <row r="10" customFormat="false" ht="15" hidden="false" customHeight="true" outlineLevel="0" collapsed="false">
      <c r="A10" s="12"/>
      <c r="B10" s="12"/>
      <c r="C10" s="13"/>
      <c r="D10" s="13"/>
      <c r="E10" s="13"/>
      <c r="F10" s="8"/>
      <c r="G10" s="13"/>
      <c r="H10" s="13"/>
    </row>
    <row r="11" customFormat="false" ht="15" hidden="false" customHeight="true" outlineLevel="0" collapsed="false">
      <c r="A11" s="12"/>
      <c r="B11" s="12"/>
      <c r="C11" s="13"/>
      <c r="D11" s="13"/>
      <c r="E11" s="13"/>
      <c r="F11" s="8"/>
      <c r="G11" s="13"/>
      <c r="H11" s="13"/>
    </row>
    <row r="12" customFormat="false" ht="15" hidden="false" customHeight="true" outlineLevel="0" collapsed="false">
      <c r="A12" s="12"/>
      <c r="B12" s="12"/>
      <c r="C12" s="13"/>
      <c r="D12" s="13"/>
      <c r="E12" s="13"/>
      <c r="F12" s="8"/>
      <c r="G12" s="13"/>
      <c r="H12" s="13"/>
    </row>
    <row r="13" customFormat="false" ht="15" hidden="false" customHeight="true" outlineLevel="0" collapsed="false">
      <c r="A13" s="12"/>
      <c r="B13" s="12"/>
      <c r="C13" s="13"/>
      <c r="D13" s="13"/>
      <c r="E13" s="13"/>
      <c r="F13" s="8"/>
      <c r="G13" s="13"/>
      <c r="H13" s="13"/>
    </row>
    <row r="14" customFormat="false" ht="15" hidden="false" customHeight="true" outlineLevel="0" collapsed="false">
      <c r="A14" s="12"/>
      <c r="B14" s="12"/>
      <c r="C14" s="13"/>
      <c r="D14" s="13"/>
      <c r="E14" s="13"/>
      <c r="F14" s="8"/>
      <c r="G14" s="13"/>
      <c r="H14" s="13"/>
    </row>
    <row r="15" customFormat="false" ht="15" hidden="false" customHeight="true" outlineLevel="0" collapsed="false">
      <c r="A15" s="12"/>
      <c r="B15" s="12"/>
      <c r="C15" s="13"/>
      <c r="D15" s="13"/>
      <c r="E15" s="13"/>
      <c r="F15" s="8"/>
      <c r="G15" s="13"/>
      <c r="H15" s="13"/>
    </row>
    <row r="16" customFormat="false" ht="15" hidden="false" customHeight="true" outlineLevel="0" collapsed="false">
      <c r="A16" s="12"/>
      <c r="B16" s="12"/>
      <c r="C16" s="13"/>
      <c r="D16" s="13"/>
      <c r="E16" s="13"/>
      <c r="F16" s="8"/>
      <c r="G16" s="13"/>
      <c r="H16" s="13"/>
    </row>
    <row r="17" customFormat="false" ht="15" hidden="false" customHeight="true" outlineLevel="0" collapsed="false">
      <c r="A17" s="12"/>
      <c r="B17" s="12"/>
      <c r="C17" s="13"/>
      <c r="D17" s="13"/>
      <c r="E17" s="13"/>
      <c r="F17" s="8"/>
      <c r="G17" s="13"/>
      <c r="H17" s="13"/>
    </row>
    <row r="18" customFormat="false" ht="15" hidden="false" customHeight="true" outlineLevel="0" collapsed="false">
      <c r="A18" s="12"/>
      <c r="B18" s="12"/>
      <c r="C18" s="13"/>
      <c r="D18" s="13"/>
      <c r="E18" s="13"/>
      <c r="F18" s="8"/>
      <c r="G18" s="13"/>
      <c r="H18" s="13"/>
    </row>
    <row r="19" customFormat="false" ht="15" hidden="false" customHeight="true" outlineLevel="0" collapsed="false">
      <c r="A19" s="12"/>
      <c r="B19" s="12"/>
      <c r="C19" s="13"/>
      <c r="D19" s="13"/>
      <c r="E19" s="13"/>
      <c r="F19" s="8"/>
      <c r="G19" s="13"/>
      <c r="H19" s="13"/>
    </row>
    <row r="20" customFormat="false" ht="15" hidden="false" customHeight="true" outlineLevel="0" collapsed="false">
      <c r="A20" s="12"/>
      <c r="B20" s="12"/>
      <c r="C20" s="13"/>
      <c r="D20" s="13"/>
      <c r="E20" s="13"/>
      <c r="F20" s="8"/>
      <c r="G20" s="13"/>
      <c r="H20" s="13"/>
    </row>
    <row r="21" customFormat="false" ht="15" hidden="false" customHeight="true" outlineLevel="0" collapsed="false">
      <c r="A21" s="12"/>
      <c r="B21" s="12"/>
      <c r="C21" s="13"/>
      <c r="D21" s="13"/>
      <c r="E21" s="13"/>
      <c r="F21" s="8"/>
      <c r="G21" s="13"/>
      <c r="H21" s="13"/>
    </row>
    <row r="22" customFormat="false" ht="15" hidden="false" customHeight="true" outlineLevel="0" collapsed="false">
      <c r="A22" s="12"/>
      <c r="B22" s="12"/>
      <c r="C22" s="13"/>
      <c r="D22" s="13"/>
      <c r="E22" s="13"/>
      <c r="F22" s="8"/>
      <c r="G22" s="13"/>
      <c r="H22" s="13"/>
    </row>
    <row r="23" customFormat="false" ht="15" hidden="false" customHeight="true" outlineLevel="0" collapsed="false">
      <c r="A23" s="12"/>
      <c r="B23" s="12"/>
      <c r="C23" s="13"/>
      <c r="D23" s="13"/>
      <c r="E23" s="13"/>
      <c r="F23" s="8"/>
      <c r="G23" s="13"/>
      <c r="H23" s="13"/>
    </row>
    <row r="24" customFormat="false" ht="15" hidden="false" customHeight="true" outlineLevel="0" collapsed="false">
      <c r="A24" s="12"/>
      <c r="B24" s="12"/>
      <c r="C24" s="13"/>
      <c r="D24" s="13"/>
      <c r="E24" s="13"/>
      <c r="F24" s="8"/>
      <c r="G24" s="13"/>
      <c r="H24" s="13"/>
    </row>
    <row r="25" customFormat="false" ht="15" hidden="false" customHeight="true" outlineLevel="0" collapsed="false">
      <c r="A25" s="12"/>
      <c r="B25" s="12"/>
      <c r="C25" s="13"/>
      <c r="D25" s="13"/>
      <c r="E25" s="13"/>
      <c r="F25" s="8"/>
      <c r="G25" s="13"/>
      <c r="H25" s="13"/>
    </row>
    <row r="26" customFormat="false" ht="15" hidden="false" customHeight="true" outlineLevel="0" collapsed="false">
      <c r="A26" s="12"/>
      <c r="B26" s="12"/>
      <c r="C26" s="13"/>
      <c r="D26" s="13"/>
      <c r="E26" s="13"/>
      <c r="F26" s="8"/>
      <c r="G26" s="13"/>
      <c r="H26" s="13"/>
    </row>
    <row r="27" customFormat="false" ht="15" hidden="false" customHeight="true" outlineLevel="0" collapsed="false">
      <c r="A27" s="12"/>
      <c r="B27" s="12"/>
      <c r="C27" s="13"/>
      <c r="D27" s="13"/>
      <c r="E27" s="13"/>
      <c r="F27" s="8"/>
      <c r="G27" s="13"/>
      <c r="H27" s="13"/>
    </row>
    <row r="28" customFormat="false" ht="15" hidden="false" customHeight="true" outlineLevel="0" collapsed="false">
      <c r="A28" s="12"/>
      <c r="B28" s="12"/>
      <c r="C28" s="13"/>
      <c r="D28" s="13"/>
      <c r="E28" s="13"/>
      <c r="F28" s="8"/>
      <c r="G28" s="13"/>
      <c r="H28" s="13"/>
    </row>
    <row r="29" customFormat="false" ht="15" hidden="false" customHeight="true" outlineLevel="0" collapsed="false">
      <c r="A29" s="12"/>
      <c r="B29" s="12"/>
      <c r="C29" s="13"/>
      <c r="D29" s="13"/>
      <c r="E29" s="13"/>
      <c r="F29" s="8"/>
      <c r="G29" s="13"/>
      <c r="H29" s="13"/>
    </row>
    <row r="30" customFormat="false" ht="15" hidden="false" customHeight="true" outlineLevel="0" collapsed="false">
      <c r="A30" s="12"/>
      <c r="B30" s="12"/>
      <c r="C30" s="13"/>
      <c r="D30" s="13"/>
      <c r="E30" s="13"/>
      <c r="F30" s="8"/>
      <c r="G30" s="13"/>
      <c r="H30" s="13"/>
    </row>
    <row r="31" customFormat="false" ht="15" hidden="false" customHeight="true" outlineLevel="0" collapsed="false">
      <c r="A31" s="12"/>
      <c r="B31" s="12"/>
      <c r="C31" s="13"/>
      <c r="D31" s="13"/>
      <c r="E31" s="13"/>
      <c r="F31" s="8"/>
      <c r="G31" s="13"/>
      <c r="H31" s="13"/>
    </row>
    <row r="32" customFormat="false" ht="15" hidden="false" customHeight="true" outlineLevel="0" collapsed="false">
      <c r="A32" s="12"/>
      <c r="B32" s="12"/>
      <c r="C32" s="13"/>
      <c r="D32" s="13"/>
      <c r="E32" s="13"/>
      <c r="F32" s="8"/>
      <c r="G32" s="13"/>
      <c r="H32" s="13"/>
    </row>
    <row r="33" customFormat="false" ht="15" hidden="false" customHeight="true" outlineLevel="0" collapsed="false">
      <c r="A33" s="12"/>
      <c r="B33" s="12"/>
      <c r="C33" s="13"/>
      <c r="D33" s="13"/>
      <c r="E33" s="13"/>
      <c r="F33" s="8"/>
      <c r="G33" s="13"/>
      <c r="H33" s="13"/>
    </row>
    <row r="34" customFormat="false" ht="15" hidden="false" customHeight="true" outlineLevel="0" collapsed="false">
      <c r="A34" s="12"/>
      <c r="B34" s="12"/>
      <c r="C34" s="13"/>
      <c r="D34" s="13"/>
      <c r="E34" s="13"/>
      <c r="F34" s="8"/>
      <c r="G34" s="13"/>
      <c r="H34" s="13"/>
    </row>
    <row r="35" customFormat="false" ht="15" hidden="false" customHeight="true" outlineLevel="0" collapsed="false">
      <c r="E35" s="10" t="s">
        <v>93</v>
      </c>
      <c r="F35" s="11" t="n">
        <f aca="false">SUM(F5:F34)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7"/>
    <col collapsed="false" customWidth="true" hidden="false" outlineLevel="0" max="4" min="4" style="1" width="32"/>
  </cols>
  <sheetData>
    <row r="1" customFormat="false" ht="17.25" hidden="false" customHeight="true" outlineLevel="0" collapsed="false">
      <c r="A1" s="2" t="s">
        <v>94</v>
      </c>
      <c r="B1" s="2"/>
      <c r="C1" s="2"/>
      <c r="D1" s="2"/>
    </row>
    <row r="2" customFormat="false" ht="15" hidden="false" customHeight="true" outlineLevel="0" collapsed="false">
      <c r="A2" s="3" t="s">
        <v>95</v>
      </c>
      <c r="B2" s="3"/>
      <c r="C2" s="3"/>
      <c r="D2" s="3"/>
    </row>
    <row r="4" customFormat="false" ht="15" hidden="false" customHeight="true" outlineLevel="0" collapsed="false">
      <c r="A4" s="14" t="s">
        <v>96</v>
      </c>
      <c r="B4" s="14"/>
      <c r="C4" s="14"/>
      <c r="D4" s="14"/>
    </row>
    <row r="5" customFormat="false" ht="15" hidden="false" customHeight="true" outlineLevel="0" collapsed="false">
      <c r="A5" s="4" t="s">
        <v>97</v>
      </c>
      <c r="B5" s="4" t="s">
        <v>98</v>
      </c>
      <c r="C5" s="4" t="s">
        <v>99</v>
      </c>
      <c r="D5" s="4" t="s">
        <v>100</v>
      </c>
    </row>
    <row r="6" customFormat="false" ht="15" hidden="false" customHeight="true" outlineLevel="0" collapsed="false">
      <c r="A6" s="15" t="s">
        <v>16</v>
      </c>
      <c r="B6" s="16" t="n">
        <f aca="false">SUMIF('Pre-trip bookings'!D:D,"Rohit",'Pre-trip bookings'!E:E)</f>
        <v>21595.33</v>
      </c>
      <c r="C6" s="16" t="n">
        <f aca="false">SUMIF('During-trip log'!E:E,"Rohit",'During-trip log'!F:F)</f>
        <v>0</v>
      </c>
      <c r="D6" s="17" t="n">
        <f aca="false">B6+C6</f>
        <v>21595.33</v>
      </c>
    </row>
    <row r="7" customFormat="false" ht="15" hidden="false" customHeight="true" outlineLevel="0" collapsed="false">
      <c r="A7" s="15" t="s">
        <v>41</v>
      </c>
      <c r="B7" s="16" t="n">
        <f aca="false">SUMIF('Pre-trip bookings'!D:D,"Ritesh",'Pre-trip bookings'!E:E)</f>
        <v>0</v>
      </c>
      <c r="C7" s="16" t="n">
        <f aca="false">SUMIF('During-trip log'!E:E,"Ritesh",'During-trip log'!F:F)</f>
        <v>0</v>
      </c>
      <c r="D7" s="17" t="n">
        <f aca="false">B7+C7</f>
        <v>0</v>
      </c>
    </row>
    <row r="8" customFormat="false" ht="15" hidden="false" customHeight="true" outlineLevel="0" collapsed="false">
      <c r="A8" s="15" t="s">
        <v>101</v>
      </c>
      <c r="B8" s="16" t="n">
        <f aca="false">SUMIF('Pre-trip bookings'!D:D,"Other",'Pre-trip bookings'!E:E)</f>
        <v>0</v>
      </c>
      <c r="C8" s="16" t="n">
        <f aca="false">SUMIF('During-trip log'!E:E,"Other",'During-trip log'!F:F)</f>
        <v>0</v>
      </c>
      <c r="D8" s="17" t="n">
        <f aca="false">B8+C8</f>
        <v>0</v>
      </c>
    </row>
    <row r="9" customFormat="false" ht="15" hidden="false" customHeight="true" outlineLevel="0" collapsed="false">
      <c r="A9" s="18" t="s">
        <v>102</v>
      </c>
      <c r="B9" s="11" t="n">
        <f aca="false">SUM(B6:B8)</f>
        <v>21595.33</v>
      </c>
      <c r="C9" s="11" t="n">
        <f aca="false">SUM(C6:C8)</f>
        <v>0</v>
      </c>
      <c r="D9" s="11" t="n">
        <f aca="false">SUM(D6:D8)</f>
        <v>21595.33</v>
      </c>
    </row>
    <row r="11" customFormat="false" ht="15" hidden="false" customHeight="true" outlineLevel="0" collapsed="false">
      <c r="A11" s="14" t="s">
        <v>103</v>
      </c>
      <c r="B11" s="14"/>
      <c r="C11" s="14"/>
      <c r="D11" s="14"/>
    </row>
    <row r="12" customFormat="false" ht="15" hidden="false" customHeight="true" outlineLevel="0" collapsed="false">
      <c r="A12" s="4" t="s">
        <v>3</v>
      </c>
      <c r="B12" s="4" t="s">
        <v>104</v>
      </c>
      <c r="C12" s="4" t="s">
        <v>105</v>
      </c>
      <c r="D12" s="4" t="s">
        <v>106</v>
      </c>
    </row>
    <row r="13" customFormat="false" ht="15" hidden="false" customHeight="true" outlineLevel="0" collapsed="false">
      <c r="A13" s="15" t="s">
        <v>51</v>
      </c>
      <c r="B13" s="16" t="n">
        <f aca="false">SUMIF('Pre-trip bookings'!B:B,"Lodging",'Pre-trip bookings'!E:E)</f>
        <v>17657.62</v>
      </c>
      <c r="C13" s="16" t="n">
        <f aca="false">SUMIF('During-trip log'!C:C,"Lodging",'During-trip log'!F:F)</f>
        <v>0</v>
      </c>
      <c r="D13" s="17" t="n">
        <f aca="false">B13+C13</f>
        <v>17657.62</v>
      </c>
    </row>
    <row r="14" customFormat="false" ht="15" hidden="false" customHeight="true" outlineLevel="0" collapsed="false">
      <c r="A14" s="15" t="s">
        <v>32</v>
      </c>
      <c r="B14" s="16" t="n">
        <f aca="false">SUMIF('Pre-trip bookings'!B:B,"Flight",'Pre-trip bookings'!E:E)</f>
        <v>2737.71</v>
      </c>
      <c r="C14" s="16" t="n">
        <f aca="false">SUMIF('During-trip log'!C:C,"Flight",'During-trip log'!F:F)</f>
        <v>0</v>
      </c>
      <c r="D14" s="17" t="n">
        <f aca="false">B14+C14</f>
        <v>2737.71</v>
      </c>
    </row>
    <row r="15" customFormat="false" ht="15" hidden="false" customHeight="true" outlineLevel="0" collapsed="false">
      <c r="A15" s="15" t="s">
        <v>67</v>
      </c>
      <c r="B15" s="16" t="n">
        <f aca="false">SUMIF('Pre-trip bookings'!B:B,"Vehicle",'Pre-trip bookings'!E:E)</f>
        <v>0</v>
      </c>
      <c r="C15" s="16" t="n">
        <f aca="false">SUMIF('During-trip log'!C:C,"Vehicle",'During-trip log'!F:F)</f>
        <v>0</v>
      </c>
      <c r="D15" s="17" t="n">
        <f aca="false">B15+C15</f>
        <v>0</v>
      </c>
    </row>
    <row r="16" customFormat="false" ht="15" hidden="false" customHeight="true" outlineLevel="0" collapsed="false">
      <c r="A16" s="15" t="s">
        <v>24</v>
      </c>
      <c r="B16" s="16" t="n">
        <f aca="false">SUMIF('Pre-trip bookings'!B:B,"Activity",'Pre-trip bookings'!E:E)</f>
        <v>1200</v>
      </c>
      <c r="C16" s="16" t="n">
        <f aca="false">SUMIF('During-trip log'!C:C,"Activity",'During-trip log'!F:F)</f>
        <v>0</v>
      </c>
      <c r="D16" s="17" t="n">
        <f aca="false">B16+C16</f>
        <v>1200</v>
      </c>
    </row>
    <row r="17" customFormat="false" ht="15" hidden="false" customHeight="true" outlineLevel="0" collapsed="false">
      <c r="A17" s="15" t="s">
        <v>14</v>
      </c>
      <c r="B17" s="16" t="n">
        <f aca="false">SUMIF('Pre-trip bookings'!B:B,"Dining",'Pre-trip bookings'!E:E)</f>
        <v>0</v>
      </c>
      <c r="C17" s="16" t="n">
        <f aca="false">SUMIF('During-trip log'!C:C,"Dining",'During-trip log'!F:F)</f>
        <v>0</v>
      </c>
      <c r="D17" s="17" t="n">
        <f aca="false">B17+C17</f>
        <v>0</v>
      </c>
    </row>
    <row r="18" customFormat="false" ht="15" hidden="false" customHeight="true" outlineLevel="0" collapsed="false">
      <c r="A18" s="15" t="s">
        <v>107</v>
      </c>
      <c r="B18" s="16" t="n">
        <f aca="false">SUMIF('Pre-trip bookings'!B:B,"Food",'Pre-trip bookings'!E:E)</f>
        <v>0</v>
      </c>
      <c r="C18" s="16" t="n">
        <f aca="false">SUMIF('During-trip log'!C:C,"Food",'During-trip log'!F:F)</f>
        <v>0</v>
      </c>
      <c r="D18" s="17" t="n">
        <f aca="false">B18+C18</f>
        <v>0</v>
      </c>
    </row>
    <row r="19" customFormat="false" ht="15" hidden="false" customHeight="true" outlineLevel="0" collapsed="false">
      <c r="A19" s="15" t="s">
        <v>108</v>
      </c>
      <c r="B19" s="16" t="n">
        <f aca="false">SUMIF('Pre-trip bookings'!B:B,"Fuel",'Pre-trip bookings'!E:E)</f>
        <v>0</v>
      </c>
      <c r="C19" s="16" t="n">
        <f aca="false">SUMIF('During-trip log'!C:C,"Fuel",'During-trip log'!F:F)</f>
        <v>0</v>
      </c>
      <c r="D19" s="17" t="n">
        <f aca="false">B19+C19</f>
        <v>0</v>
      </c>
    </row>
    <row r="20" customFormat="false" ht="15" hidden="false" customHeight="true" outlineLevel="0" collapsed="false">
      <c r="A20" s="15" t="s">
        <v>101</v>
      </c>
      <c r="B20" s="16" t="n">
        <f aca="false">SUMIF('Pre-trip bookings'!B:B,"Other",'Pre-trip bookings'!E:E)</f>
        <v>0</v>
      </c>
      <c r="C20" s="16" t="n">
        <f aca="false">SUMIF('During-trip log'!C:C,"Other",'During-trip log'!F:F)</f>
        <v>0</v>
      </c>
      <c r="D20" s="17" t="n">
        <f aca="false">B20+C20</f>
        <v>0</v>
      </c>
    </row>
    <row r="22" customFormat="false" ht="15" hidden="false" customHeight="true" outlineLevel="0" collapsed="false">
      <c r="A22" s="14" t="s">
        <v>109</v>
      </c>
      <c r="B22" s="14"/>
      <c r="C22" s="14"/>
      <c r="D22" s="14"/>
    </row>
    <row r="23" customFormat="false" ht="15" hidden="false" customHeight="true" outlineLevel="0" collapsed="false">
      <c r="A23" s="3" t="s">
        <v>110</v>
      </c>
      <c r="B23" s="3"/>
      <c r="C23" s="3"/>
      <c r="D23" s="3"/>
    </row>
    <row r="25" customFormat="false" ht="15" hidden="false" customHeight="true" outlineLevel="0" collapsed="false">
      <c r="A25" s="19" t="s">
        <v>111</v>
      </c>
      <c r="B25" s="20" t="n">
        <f aca="false">D9</f>
        <v>21595.33</v>
      </c>
    </row>
    <row r="26" customFormat="false" ht="15" hidden="false" customHeight="true" outlineLevel="0" collapsed="false">
      <c r="A26" s="19" t="s">
        <v>112</v>
      </c>
      <c r="B26" s="21" t="n">
        <v>12</v>
      </c>
    </row>
    <row r="27" customFormat="false" ht="15" hidden="false" customHeight="true" outlineLevel="0" collapsed="false">
      <c r="A27" s="19" t="s">
        <v>113</v>
      </c>
      <c r="B27" s="20" t="n">
        <f aca="false">B25/B26</f>
        <v>1799.61083333333</v>
      </c>
    </row>
    <row r="29" customFormat="false" ht="15" hidden="false" customHeight="true" outlineLevel="0" collapsed="false">
      <c r="A29" s="4" t="s">
        <v>97</v>
      </c>
      <c r="B29" s="4" t="s">
        <v>114</v>
      </c>
      <c r="C29" s="4" t="s">
        <v>115</v>
      </c>
      <c r="D29" s="4" t="s">
        <v>116</v>
      </c>
    </row>
    <row r="30" customFormat="false" ht="15" hidden="false" customHeight="true" outlineLevel="0" collapsed="false">
      <c r="A30" s="15" t="s">
        <v>16</v>
      </c>
      <c r="B30" s="16" t="n">
        <f aca="false">D6</f>
        <v>21595.33</v>
      </c>
      <c r="C30" s="17" t="n">
        <f aca="false">B27*1</f>
        <v>1799.61083333333</v>
      </c>
      <c r="D30" s="17" t="n">
        <f aca="false">B30-C30</f>
        <v>19795.7191666667</v>
      </c>
    </row>
    <row r="31" customFormat="false" ht="15" hidden="false" customHeight="true" outlineLevel="0" collapsed="false">
      <c r="A31" s="15" t="s">
        <v>41</v>
      </c>
      <c r="B31" s="16" t="n">
        <f aca="false">D7</f>
        <v>0</v>
      </c>
      <c r="C31" s="17" t="n">
        <f aca="false">B27*1</f>
        <v>1799.61083333333</v>
      </c>
      <c r="D31" s="17" t="n">
        <f aca="false">B31-C31</f>
        <v>-1799.61083333333</v>
      </c>
    </row>
    <row r="32" customFormat="false" ht="15" hidden="false" customHeight="true" outlineLevel="0" collapsed="false">
      <c r="A32" s="15" t="s">
        <v>101</v>
      </c>
      <c r="B32" s="16" t="n">
        <f aca="false">D8</f>
        <v>0</v>
      </c>
      <c r="C32" s="17" t="n">
        <f aca="false">B27*10</f>
        <v>17996.1083333333</v>
      </c>
      <c r="D32" s="17" t="n">
        <f aca="false">B32-C32</f>
        <v>-17996.1083333333</v>
      </c>
    </row>
  </sheetData>
  <mergeCells count="6">
    <mergeCell ref="A1:D1"/>
    <mergeCell ref="A2:D2"/>
    <mergeCell ref="A4:D4"/>
    <mergeCell ref="A11:D1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2026-05-20T15:30:35Z</dcterms:created>
  <dc:creator>openpyxl</dc:creator>
  <dc:description/>
  <dc:language>en-US</dc:language>
  <cp:lastModifiedBy/>
  <dcterms:modified xsi:type="dcterms:W3CDTF">2026-05-20T16:37:57Z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